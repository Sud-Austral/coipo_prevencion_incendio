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externalReferences>
    <externalReference r:id="rId5"/>
  </externalReferences>
  <definedNames>
    <definedName name="_RP">'[1]RP'!$A$1:$AA$56</definedName>
  </definedNames>
  <calcPr/>
  <extLst>
    <ext uri="GoogleSheetsCustomDataVersion2">
      <go:sheetsCustomData xmlns:go="http://customooxmlschemas.google.com/" r:id="rId6" roundtripDataChecksum="mHbiQaEYvZvsl2p+FHtu4q9vW1H5JPyX9sdyQDFxrtk="/>
    </ext>
  </extLst>
</workbook>
</file>

<file path=xl/sharedStrings.xml><?xml version="1.0" encoding="utf-8"?>
<sst xmlns="http://schemas.openxmlformats.org/spreadsheetml/2006/main" count="59" uniqueCount="50">
  <si>
    <t>OECV</t>
  </si>
  <si>
    <t>CONAF</t>
  </si>
  <si>
    <t>MOP</t>
  </si>
  <si>
    <t>Mecanizado</t>
  </si>
  <si>
    <t>Km</t>
  </si>
  <si>
    <t>Manual Brigada</t>
  </si>
  <si>
    <t>Manual PEE</t>
  </si>
  <si>
    <t>Rutas</t>
  </si>
  <si>
    <t>Pampa Perinetti</t>
  </si>
  <si>
    <t>Parque saval</t>
  </si>
  <si>
    <t>Pangui 1</t>
  </si>
  <si>
    <t>202(SJ Mariquina-Valdivia)</t>
  </si>
  <si>
    <t>Sector Cuarentenario</t>
  </si>
  <si>
    <t xml:space="preserve">Los Castaños </t>
  </si>
  <si>
    <t>Pangui 2</t>
  </si>
  <si>
    <t>206 (Paillaco-Valdivia)</t>
  </si>
  <si>
    <t>Elige Vivir Sano</t>
  </si>
  <si>
    <t>Corral</t>
  </si>
  <si>
    <t>T-60</t>
  </si>
  <si>
    <t>Pampa las Parcelas</t>
  </si>
  <si>
    <t>Jardin Irene D.</t>
  </si>
  <si>
    <t>T-320 (Llastuco-cruce 310)</t>
  </si>
  <si>
    <t>Pampa Rucahue/Mariquina 16</t>
  </si>
  <si>
    <t>Isla Huapi</t>
  </si>
  <si>
    <t>T-20 (SJ Mariquina-Mehuin)</t>
  </si>
  <si>
    <t>Pampa Rucahue LT50A</t>
  </si>
  <si>
    <t>Coihueco</t>
  </si>
  <si>
    <t>T-39</t>
  </si>
  <si>
    <t>Medialuna</t>
  </si>
  <si>
    <t>Loncopan</t>
  </si>
  <si>
    <t>T-350</t>
  </si>
  <si>
    <t>Estación Mariquina</t>
  </si>
  <si>
    <t>Sector Bancario</t>
  </si>
  <si>
    <t>T-720</t>
  </si>
  <si>
    <t>Cancha municipal</t>
  </si>
  <si>
    <t>TOTAL</t>
  </si>
  <si>
    <t>Los Castaños</t>
  </si>
  <si>
    <t>T-210</t>
  </si>
  <si>
    <t>Lanco Panamericana</t>
  </si>
  <si>
    <t>Las Palmeras</t>
  </si>
  <si>
    <t>Cancha Malalhue</t>
  </si>
  <si>
    <t>Vivero Ignao</t>
  </si>
  <si>
    <t>Catrilleufu</t>
  </si>
  <si>
    <t>Quitaluto</t>
  </si>
  <si>
    <t>Vertedero Nontuelá</t>
  </si>
  <si>
    <t>Loma Socoepa</t>
  </si>
  <si>
    <t>La Cantera</t>
  </si>
  <si>
    <t>Pampa Aichel</t>
  </si>
  <si>
    <t>CIP-CRC Las Gaviotas</t>
  </si>
  <si>
    <t>Condominio Paillao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</si>
</sst>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shrinkToFit="0" vertical="bottom" wrapText="0"/>
    </xf>
    <xf borderId="4" fillId="3" fontId="3" numFmtId="0" xfId="0" applyAlignment="1" applyBorder="1" applyFill="1" applyFont="1">
      <alignment horizontal="center" shrinkToFit="0" vertical="bottom" wrapText="0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7" fillId="3" fontId="1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10" fillId="0" fontId="3" numFmtId="2" xfId="0" applyAlignment="1" applyBorder="1" applyFont="1" applyNumberForma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11" fillId="4" fontId="3" numFmtId="0" xfId="0" applyAlignment="1" applyBorder="1" applyFill="1" applyFon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0" fillId="5" fontId="3" numFmtId="0" xfId="0" applyAlignment="1" applyBorder="1" applyFill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horizontal="center" shrinkToFit="0" vertical="bottom" wrapText="0"/>
    </xf>
    <xf borderId="18" fillId="0" fontId="3" numFmtId="2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19" fillId="5" fontId="1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2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left" shrinkToFit="0" vertical="bottom" wrapText="0"/>
    </xf>
    <xf borderId="21" fillId="6" fontId="1" numFmtId="0" xfId="0" applyAlignment="1" applyBorder="1" applyFill="1" applyFon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0" fillId="0" fontId="3" numFmtId="2" xfId="0" applyAlignment="1" applyFont="1" applyNumberFormat="1">
      <alignment horizontal="center" shrinkToFit="0" vertical="bottom" wrapText="1"/>
    </xf>
    <xf borderId="23" fillId="5" fontId="1" numFmtId="0" xfId="0" applyAlignment="1" applyBorder="1" applyFont="1">
      <alignment shrinkToFit="0" vertical="bottom" wrapText="0"/>
    </xf>
    <xf borderId="23" fillId="6" fontId="1" numFmtId="0" xfId="0" applyAlignment="1" applyBorder="1" applyFont="1">
      <alignment shrinkToFit="0" vertical="bottom" wrapText="0"/>
    </xf>
    <xf borderId="23" fillId="0" fontId="1" numFmtId="0" xfId="0" applyAlignment="1" applyBorder="1" applyFont="1">
      <alignment horizontal="center" shrinkToFit="0" vertical="bottom" wrapText="0"/>
    </xf>
    <xf borderId="23" fillId="0" fontId="3" numFmtId="2" xfId="0" applyAlignment="1" applyBorder="1" applyFont="1" applyNumberFormat="1">
      <alignment shrinkToFit="0" vertical="bottom" wrapText="0"/>
    </xf>
    <xf borderId="23" fillId="0" fontId="3" numFmtId="0" xfId="0" applyAlignment="1" applyBorder="1" applyFont="1">
      <alignment shrinkToFit="0" vertical="bottom" wrapText="0"/>
    </xf>
    <xf borderId="23" fillId="0" fontId="1" numFmtId="2" xfId="0" applyAlignment="1" applyBorder="1" applyFont="1" applyNumberFormat="1">
      <alignment horizontal="center" shrinkToFit="0" vertical="bottom" wrapText="0"/>
    </xf>
    <xf borderId="24" fillId="0" fontId="3" numFmtId="0" xfId="0" applyAlignment="1" applyBorder="1" applyFont="1">
      <alignment horizontal="center" shrinkToFit="0" vertical="bottom" wrapText="0"/>
    </xf>
    <xf borderId="22" fillId="0" fontId="3" numFmtId="2" xfId="0" applyAlignment="1" applyBorder="1" applyFont="1" applyNumberFormat="1">
      <alignment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19" fillId="5" fontId="1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Fernanda/Desktop/Teletrabajo/1.- Programas de trabajo/REPERFILADO_DESMALEZADO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ctivos"/>
      <sheetName val="REPERFILADO"/>
      <sheetName val="DESMALEZADOR"/>
      <sheetName val="RP"/>
      <sheetName val="LF"/>
      <sheetName val="REPERFILADO_DESMALEZADOR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0.0"/>
    <col customWidth="1" min="3" max="3" width="15.57"/>
    <col customWidth="1" min="4" max="4" width="10.0"/>
    <col customWidth="1" min="5" max="5" width="16.29"/>
    <col customWidth="1" min="6" max="6" width="10.0"/>
    <col customWidth="1" min="7" max="7" width="29.14"/>
    <col customWidth="1" min="8" max="26" width="10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2"/>
      <c r="C2" s="2"/>
      <c r="D2" s="2"/>
      <c r="E2" s="2"/>
      <c r="F2" s="3"/>
      <c r="G2" s="5" t="s">
        <v>2</v>
      </c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7" t="s">
        <v>6</v>
      </c>
      <c r="F3" s="9" t="s">
        <v>4</v>
      </c>
      <c r="G3" s="10" t="s">
        <v>7</v>
      </c>
      <c r="H3" s="11" t="s">
        <v>4</v>
      </c>
    </row>
    <row r="4">
      <c r="A4" s="12" t="s">
        <v>8</v>
      </c>
      <c r="B4" s="13">
        <f>1800/1000</f>
        <v>1.8</v>
      </c>
      <c r="C4" s="14" t="s">
        <v>9</v>
      </c>
      <c r="D4" s="15">
        <f>400/1000</f>
        <v>0.4</v>
      </c>
      <c r="E4" s="14" t="s">
        <v>10</v>
      </c>
      <c r="F4" s="16">
        <f>881/1000</f>
        <v>0.881</v>
      </c>
      <c r="G4" s="12" t="s">
        <v>11</v>
      </c>
      <c r="H4" s="17">
        <v>48.96</v>
      </c>
    </row>
    <row r="5">
      <c r="A5" s="12" t="s">
        <v>12</v>
      </c>
      <c r="B5" s="13">
        <f>901/1000</f>
        <v>0.901</v>
      </c>
      <c r="C5" s="14" t="s">
        <v>13</v>
      </c>
      <c r="D5" s="15">
        <v>0.03</v>
      </c>
      <c r="E5" s="14" t="s">
        <v>14</v>
      </c>
      <c r="F5" s="16">
        <f>(879+612)/1000</f>
        <v>1.491</v>
      </c>
      <c r="G5" s="12" t="s">
        <v>15</v>
      </c>
      <c r="H5" s="17">
        <v>42.0</v>
      </c>
    </row>
    <row r="6">
      <c r="A6" s="12" t="s">
        <v>16</v>
      </c>
      <c r="B6" s="13">
        <f>275/1000</f>
        <v>0.275</v>
      </c>
      <c r="C6" s="14"/>
      <c r="D6" s="16"/>
      <c r="E6" s="14" t="s">
        <v>17</v>
      </c>
      <c r="F6" s="16">
        <f>291/1000</f>
        <v>0.291</v>
      </c>
      <c r="G6" s="12" t="s">
        <v>18</v>
      </c>
      <c r="H6" s="17">
        <v>24.2</v>
      </c>
    </row>
    <row r="7">
      <c r="A7" s="12" t="s">
        <v>19</v>
      </c>
      <c r="B7" s="13">
        <f>991/1000</f>
        <v>0.991</v>
      </c>
      <c r="C7" s="14"/>
      <c r="D7" s="16"/>
      <c r="E7" s="14" t="s">
        <v>20</v>
      </c>
      <c r="F7" s="16">
        <f>89/1000</f>
        <v>0.089</v>
      </c>
      <c r="G7" s="12" t="s">
        <v>21</v>
      </c>
      <c r="H7" s="17">
        <v>5.48</v>
      </c>
    </row>
    <row r="8">
      <c r="A8" s="12" t="s">
        <v>22</v>
      </c>
      <c r="B8" s="13">
        <f>829/1000</f>
        <v>0.829</v>
      </c>
      <c r="C8" s="14"/>
      <c r="D8" s="16"/>
      <c r="E8" s="14" t="s">
        <v>23</v>
      </c>
      <c r="F8" s="16">
        <f>(589+1763+599+1337)/1000</f>
        <v>4.288</v>
      </c>
      <c r="G8" s="12" t="s">
        <v>24</v>
      </c>
      <c r="H8" s="17">
        <v>23.0</v>
      </c>
    </row>
    <row r="9">
      <c r="A9" s="12" t="s">
        <v>25</v>
      </c>
      <c r="B9" s="13">
        <f>647/1000</f>
        <v>0.647</v>
      </c>
      <c r="C9" s="14"/>
      <c r="D9" s="16"/>
      <c r="E9" s="14" t="s">
        <v>26</v>
      </c>
      <c r="F9" s="16">
        <f>949/1000</f>
        <v>0.949</v>
      </c>
      <c r="G9" s="12" t="s">
        <v>27</v>
      </c>
      <c r="H9" s="17">
        <v>30.0</v>
      </c>
    </row>
    <row r="10">
      <c r="A10" s="12" t="s">
        <v>28</v>
      </c>
      <c r="B10" s="13">
        <f>230/1000</f>
        <v>0.23</v>
      </c>
      <c r="C10" s="14"/>
      <c r="D10" s="16"/>
      <c r="E10" s="14" t="s">
        <v>29</v>
      </c>
      <c r="F10" s="16">
        <f>197/1000</f>
        <v>0.197</v>
      </c>
      <c r="G10" s="12" t="s">
        <v>30</v>
      </c>
      <c r="H10" s="17">
        <v>36.1</v>
      </c>
    </row>
    <row r="11" ht="15.75" customHeight="1">
      <c r="A11" s="12" t="s">
        <v>31</v>
      </c>
      <c r="B11" s="13">
        <f>475/1000</f>
        <v>0.475</v>
      </c>
      <c r="C11" s="18"/>
      <c r="D11" s="19"/>
      <c r="E11" s="20" t="s">
        <v>32</v>
      </c>
      <c r="F11" s="21">
        <v>0.46</v>
      </c>
      <c r="G11" s="12" t="s">
        <v>33</v>
      </c>
      <c r="H11" s="17">
        <v>10.0</v>
      </c>
    </row>
    <row r="12" ht="15.75" customHeight="1">
      <c r="A12" s="22" t="s">
        <v>34</v>
      </c>
      <c r="B12" s="23">
        <f>195/1000</f>
        <v>0.195</v>
      </c>
      <c r="C12" s="24" t="s">
        <v>35</v>
      </c>
      <c r="D12" s="25">
        <f>SUM(D4:D5)</f>
        <v>0.43</v>
      </c>
      <c r="E12" s="14" t="s">
        <v>36</v>
      </c>
      <c r="F12" s="16">
        <f>32/1000</f>
        <v>0.032</v>
      </c>
      <c r="G12" s="26" t="s">
        <v>37</v>
      </c>
      <c r="H12" s="27">
        <v>0.0</v>
      </c>
    </row>
    <row r="13" ht="15.75" customHeight="1">
      <c r="A13" s="12" t="s">
        <v>38</v>
      </c>
      <c r="B13" s="13">
        <f>720/1000</f>
        <v>0.72</v>
      </c>
      <c r="E13" s="14" t="s">
        <v>39</v>
      </c>
      <c r="F13" s="28">
        <f>100/1000</f>
        <v>0.1</v>
      </c>
      <c r="G13" s="29" t="s">
        <v>35</v>
      </c>
      <c r="H13" s="30">
        <f>SUM(H4:H12)</f>
        <v>219.74</v>
      </c>
    </row>
    <row r="14" ht="15.75" customHeight="1">
      <c r="A14" s="12" t="s">
        <v>40</v>
      </c>
      <c r="B14" s="13">
        <f>330/1000</f>
        <v>0.33</v>
      </c>
      <c r="E14" s="20" t="s">
        <v>41</v>
      </c>
      <c r="F14" s="31">
        <v>0.1</v>
      </c>
    </row>
    <row r="15" ht="15.75" customHeight="1">
      <c r="A15" s="12" t="s">
        <v>42</v>
      </c>
      <c r="B15" s="13">
        <f>4103/1000</f>
        <v>4.103</v>
      </c>
      <c r="E15" s="32" t="s">
        <v>35</v>
      </c>
      <c r="F15" s="25">
        <f>SUM(F4:F14)</f>
        <v>8.878</v>
      </c>
    </row>
    <row r="16">
      <c r="A16" s="12" t="s">
        <v>43</v>
      </c>
      <c r="B16" s="13">
        <f>1846/1000</f>
        <v>1.846</v>
      </c>
    </row>
    <row r="17">
      <c r="A17" s="12" t="s">
        <v>44</v>
      </c>
      <c r="B17" s="13">
        <f>298/1000</f>
        <v>0.298</v>
      </c>
    </row>
    <row r="18">
      <c r="A18" s="12" t="s">
        <v>45</v>
      </c>
      <c r="B18" s="13">
        <f>160/1000</f>
        <v>0.16</v>
      </c>
      <c r="E18" s="33"/>
    </row>
    <row r="19">
      <c r="A19" s="12" t="s">
        <v>46</v>
      </c>
      <c r="B19" s="13">
        <f>181/1000</f>
        <v>0.181</v>
      </c>
      <c r="E19" s="34" t="s">
        <v>1</v>
      </c>
      <c r="F19" s="35" t="s">
        <v>2</v>
      </c>
      <c r="G19" s="36" t="s">
        <v>35</v>
      </c>
    </row>
    <row r="20">
      <c r="A20" s="12" t="s">
        <v>47</v>
      </c>
      <c r="B20" s="13">
        <f>888/1000</f>
        <v>0.888</v>
      </c>
      <c r="E20" s="37">
        <f>SUM(F15+D12+B23)</f>
        <v>24.77</v>
      </c>
      <c r="F20" s="38">
        <f>H13</f>
        <v>219.74</v>
      </c>
      <c r="G20" s="39">
        <f>SUM(E20:F20)</f>
        <v>244.51</v>
      </c>
    </row>
    <row r="21" ht="15.75" customHeight="1">
      <c r="A21" s="12" t="s">
        <v>48</v>
      </c>
      <c r="B21" s="13">
        <f>260/1000</f>
        <v>0.26</v>
      </c>
    </row>
    <row r="22" ht="15.75" customHeight="1">
      <c r="A22" s="40" t="s">
        <v>49</v>
      </c>
      <c r="B22" s="41">
        <v>0.333</v>
      </c>
    </row>
    <row r="23" ht="15.75" customHeight="1">
      <c r="A23" s="42" t="s">
        <v>35</v>
      </c>
      <c r="B23" s="43">
        <f>SUM(B4:B22)</f>
        <v>15.462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F2"/>
    <mergeCell ref="G2:H2"/>
    <mergeCell ref="E18:F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2012-05-22T13:27:08Z</dcterms:created>
  <dc:creator>claudio.aravena.r</dc:creator>
</cp:coreProperties>
</file>