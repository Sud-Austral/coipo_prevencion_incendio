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Hoja2" sheetId="2" r:id="rId6"/>
    <sheet state="visible" name="Hoja3" sheetId="3" r:id="rId7"/>
  </sheets>
  <definedNames/>
  <calcPr/>
</workbook>
</file>

<file path=xl/sharedStrings.xml><?xml version="1.0" encoding="utf-8"?>
<sst xmlns="http://schemas.openxmlformats.org/spreadsheetml/2006/main" count="138" uniqueCount="66">
  <si>
    <t>Mop</t>
  </si>
  <si>
    <t>Región</t>
  </si>
  <si>
    <t>Nº</t>
  </si>
  <si>
    <t>Km planificados</t>
  </si>
  <si>
    <t>CONAF</t>
  </si>
  <si>
    <t>TRAMO</t>
  </si>
  <si>
    <t>Municipio</t>
  </si>
  <si>
    <t>Empresa</t>
  </si>
  <si>
    <t>MOP</t>
  </si>
  <si>
    <t>LONGITUD (km)</t>
  </si>
  <si>
    <t>Empresas eléctricas</t>
  </si>
  <si>
    <t>Particulares</t>
  </si>
  <si>
    <t>COMENTARIO</t>
  </si>
  <si>
    <t>Aysén</t>
  </si>
  <si>
    <t>COYHAIQUE ALTO</t>
  </si>
  <si>
    <t>Mantención</t>
  </si>
  <si>
    <t>CERRO CASTILLO 1</t>
  </si>
  <si>
    <t>KMZ</t>
  </si>
  <si>
    <t>2024-2025</t>
  </si>
  <si>
    <t>CERRO CASTILLO 2</t>
  </si>
  <si>
    <t>RESERVA RIO SIMPSON</t>
  </si>
  <si>
    <t>OECV _Coyhaique Alto.kmz</t>
  </si>
  <si>
    <t>Ruta X-65 (puerto Ibáñez) 1</t>
  </si>
  <si>
    <t>Ruta X-65 (puerto Ibáñez) 2</t>
  </si>
  <si>
    <t>Ruta 245 Balmaceda</t>
  </si>
  <si>
    <t>2025-2026</t>
  </si>
  <si>
    <t>NORTE MAÑIHUALES</t>
  </si>
  <si>
    <t>AYSEN ENTRADA</t>
  </si>
  <si>
    <t>SUR MAÑIHUALES</t>
  </si>
  <si>
    <t>OECV _PNCerro Castillo 1.kmz</t>
  </si>
  <si>
    <t>SALTO CHICO - VALLE SIMPSON</t>
  </si>
  <si>
    <t xml:space="preserve">Ruta X-728 Exploradores </t>
  </si>
  <si>
    <t>OECV _PNCerro Castillo 2.kmz</t>
  </si>
  <si>
    <t>VISTA HERMOSA</t>
  </si>
  <si>
    <t>Conaf</t>
  </si>
  <si>
    <t>OECV _RNRio Simpson.kmz</t>
  </si>
  <si>
    <t>OECV Ruta X-65 Puerto Ibañez 1.kmz</t>
  </si>
  <si>
    <t>OECV Ruta X-65 Puerto Ibañez 2.kmz</t>
  </si>
  <si>
    <t>OECV Ruta 245 Balmaceda.kmz</t>
  </si>
  <si>
    <t>Municipalidad</t>
  </si>
  <si>
    <t>OECV_Entrada Norte Mañihuales.kmz</t>
  </si>
  <si>
    <t>OECV_Entrada Puerto Aysén.kmz</t>
  </si>
  <si>
    <t>OECV_Entrada Sur de mañihuales.kmz</t>
  </si>
  <si>
    <t>OECV_Salto Chico-Valle Simpson.kmz</t>
  </si>
  <si>
    <t>Totoal Regional</t>
  </si>
  <si>
    <t>OECV Ruta X-728 Exploradores .kmz</t>
  </si>
  <si>
    <t>OECV_Vista Hermosa.kmz</t>
  </si>
  <si>
    <t>Total</t>
  </si>
  <si>
    <t>Mañihuales</t>
  </si>
  <si>
    <t>..\OECV Conaf\OECV_Mañihuales.kmz</t>
  </si>
  <si>
    <t>Reserva Nacional Coyhaique 1</t>
  </si>
  <si>
    <t>..\OECV Conaf\OECV_RNCoyhaique 1.kmz</t>
  </si>
  <si>
    <t>Reserva Nacional Coyhaique 2</t>
  </si>
  <si>
    <t>..\OECV Conaf\OECV_RNCoyhaique 2.kmz</t>
  </si>
  <si>
    <t>Reserva Nacional Coyhaique 3</t>
  </si>
  <si>
    <t>..\OECV Conaf\OECV_RNCoyhaique 3.kmz</t>
  </si>
  <si>
    <t>Reserva Nacional Coyhaique 4</t>
  </si>
  <si>
    <t>..\OECV Conaf\OECV_RNCoyhaique 4.kmz</t>
  </si>
  <si>
    <t>San Lorenzo 1</t>
  </si>
  <si>
    <t>..\OECV Conaf\OECV_Sector San Lorenzo 1.kmz</t>
  </si>
  <si>
    <t>San Lorenzo 2</t>
  </si>
  <si>
    <t>..\OECV Conaf\OECV_Sector San Lorenzo 2.kmz</t>
  </si>
  <si>
    <t>Costanera Coyhaique 1</t>
  </si>
  <si>
    <t>..\OECV Muni\OECV_Costanera Coyhaique 1.kmz</t>
  </si>
  <si>
    <t>Costanera Coyhaique 2</t>
  </si>
  <si>
    <t>..\OECV Muni\OECV_Costanera Coyhaique 2.kmz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</si>
</sst>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3">
    <font>
      <sz val="11.0"/>
      <color theme="1"/>
      <name val="Calibri"/>
      <scheme val="minor"/>
    </font>
    <font>
      <sz val="11.0"/>
      <color rgb="FF000000"/>
      <name val="Verdana"/>
    </font>
    <font>
      <b/>
      <sz val="12.0"/>
      <color rgb="FF000000"/>
      <name val="Calibri"/>
    </font>
    <font>
      <b/>
      <sz val="12.0"/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  <font>
      <sz val="12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0">
    <border/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wrapText="1"/>
    </xf>
    <xf borderId="5" fillId="2" fontId="2" numFmtId="0" xfId="0" applyAlignment="1" applyBorder="1" applyFont="1">
      <alignment horizontal="center" vertical="center"/>
    </xf>
    <xf borderId="6" fillId="0" fontId="4" numFmtId="0" xfId="0" applyBorder="1" applyFont="1"/>
    <xf borderId="7" fillId="2" fontId="2" numFmtId="0" xfId="0" applyAlignment="1" applyBorder="1" applyFont="1">
      <alignment horizontal="center" vertical="center"/>
    </xf>
    <xf borderId="8" fillId="0" fontId="4" numFmtId="0" xfId="0" applyBorder="1" applyFont="1"/>
    <xf borderId="9" fillId="2" fontId="1" numFmtId="0" xfId="0" applyAlignment="1" applyBorder="1" applyFont="1">
      <alignment horizontal="center" shrinkToFit="0" vertical="center" wrapText="1"/>
    </xf>
    <xf borderId="10" fillId="2" fontId="2" numFmtId="0" xfId="0" applyAlignment="1" applyBorder="1" applyFont="1">
      <alignment horizontal="center" vertical="center"/>
    </xf>
    <xf borderId="0" fillId="0" fontId="5" numFmtId="0" xfId="0" applyFont="1"/>
    <xf borderId="11" fillId="0" fontId="6" numFmtId="0" xfId="0" applyAlignment="1" applyBorder="1" applyFont="1">
      <alignment horizontal="center" shrinkToFit="0" vertical="center" wrapText="1"/>
    </xf>
    <xf borderId="12" fillId="2" fontId="7" numFmtId="0" xfId="0" applyAlignment="1" applyBorder="1" applyFont="1">
      <alignment horizontal="center" vertical="center"/>
    </xf>
    <xf borderId="13" fillId="0" fontId="4" numFmtId="0" xfId="0" applyBorder="1" applyFont="1"/>
    <xf borderId="14" fillId="2" fontId="7" numFmtId="0" xfId="0" applyAlignment="1" applyBorder="1" applyFont="1">
      <alignment horizontal="left" vertical="center"/>
    </xf>
    <xf borderId="15" fillId="2" fontId="7" numFmtId="0" xfId="0" applyAlignment="1" applyBorder="1" applyFont="1">
      <alignment horizontal="center" vertical="center"/>
    </xf>
    <xf borderId="16" fillId="2" fontId="2" numFmtId="0" xfId="0" applyAlignment="1" applyBorder="1" applyFont="1">
      <alignment horizontal="center" vertical="center"/>
    </xf>
    <xf borderId="17" fillId="2" fontId="7" numFmtId="0" xfId="0" applyAlignment="1" applyBorder="1" applyFont="1">
      <alignment vertical="center"/>
    </xf>
    <xf borderId="18" fillId="2" fontId="7" numFmtId="0" xfId="0" applyAlignment="1" applyBorder="1" applyFont="1">
      <alignment horizontal="center" vertical="center"/>
    </xf>
    <xf borderId="19" fillId="2" fontId="2" numFmtId="0" xfId="0" applyAlignment="1" applyBorder="1" applyFont="1">
      <alignment horizontal="center" vertical="center"/>
    </xf>
    <xf borderId="9" fillId="2" fontId="7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center" vertical="center"/>
    </xf>
    <xf borderId="20" fillId="0" fontId="6" numFmtId="0" xfId="0" applyBorder="1" applyFont="1"/>
    <xf borderId="0" fillId="0" fontId="6" numFmtId="0" xfId="0" applyAlignment="1" applyFont="1">
      <alignment horizontal="center"/>
    </xf>
    <xf borderId="21" fillId="2" fontId="7" numFmtId="0" xfId="0" applyAlignment="1" applyBorder="1" applyFont="1">
      <alignment vertical="center"/>
    </xf>
    <xf borderId="22" fillId="2" fontId="7" numFmtId="0" xfId="0" applyAlignment="1" applyBorder="1" applyFont="1">
      <alignment horizontal="left" vertical="center"/>
    </xf>
    <xf borderId="23" fillId="2" fontId="7" numFmtId="0" xfId="0" applyAlignment="1" applyBorder="1" applyFont="1">
      <alignment horizontal="center" vertical="center"/>
    </xf>
    <xf borderId="24" fillId="2" fontId="7" numFmtId="0" xfId="0" applyAlignment="1" applyBorder="1" applyFont="1">
      <alignment vertical="center"/>
    </xf>
    <xf borderId="9" fillId="0" fontId="7" numFmtId="0" xfId="0" applyAlignment="1" applyBorder="1" applyFont="1">
      <alignment horizontal="left" shrinkToFit="0" vertical="center" wrapText="1"/>
    </xf>
    <xf borderId="25" fillId="0" fontId="8" numFmtId="0" xfId="0" applyBorder="1" applyFont="1"/>
    <xf borderId="20" fillId="0" fontId="6" numFmtId="0" xfId="0" applyAlignment="1" applyBorder="1" applyFont="1">
      <alignment readingOrder="0"/>
    </xf>
    <xf borderId="20" fillId="2" fontId="7" numFmtId="0" xfId="0" applyAlignment="1" applyBorder="1" applyFont="1">
      <alignment horizontal="left" vertical="center"/>
    </xf>
    <xf borderId="1" fillId="0" fontId="9" numFmtId="0" xfId="0" applyBorder="1" applyFont="1"/>
    <xf borderId="26" fillId="2" fontId="7" numFmtId="0" xfId="0" applyAlignment="1" applyBorder="1" applyFont="1">
      <alignment horizontal="center" vertical="center"/>
    </xf>
    <xf borderId="27" fillId="2" fontId="7" numFmtId="0" xfId="0" applyAlignment="1" applyBorder="1" applyFont="1">
      <alignment horizontal="left" vertical="center"/>
    </xf>
    <xf borderId="28" fillId="2" fontId="7" numFmtId="0" xfId="0" applyAlignment="1" applyBorder="1" applyFont="1">
      <alignment horizontal="center" vertical="center"/>
    </xf>
    <xf borderId="29" fillId="2" fontId="7" numFmtId="0" xfId="0" applyAlignment="1" applyBorder="1" applyFont="1">
      <alignment vertical="center"/>
    </xf>
    <xf borderId="0" fillId="0" fontId="6" numFmtId="164" xfId="0" applyFont="1" applyNumberFormat="1"/>
    <xf borderId="20" fillId="0" fontId="7" numFmtId="0" xfId="0" applyAlignment="1" applyBorder="1" applyFont="1">
      <alignment horizontal="left" shrinkToFit="0" vertical="center" wrapText="1"/>
    </xf>
    <xf borderId="30" fillId="2" fontId="7" numFmtId="0" xfId="0" applyAlignment="1" applyBorder="1" applyFont="1">
      <alignment horizontal="left" vertical="center"/>
    </xf>
    <xf borderId="31" fillId="2" fontId="7" numFmtId="0" xfId="0" applyAlignment="1" applyBorder="1" applyFont="1">
      <alignment horizontal="center" readingOrder="0" vertical="center"/>
    </xf>
    <xf borderId="32" fillId="2" fontId="7" numFmtId="0" xfId="0" applyAlignment="1" applyBorder="1" applyFont="1">
      <alignment vertical="center"/>
    </xf>
    <xf borderId="28" fillId="0" fontId="10" numFmtId="0" xfId="0" applyBorder="1" applyFont="1"/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shrinkToFit="0" vertical="center" wrapText="1"/>
    </xf>
    <xf borderId="33" fillId="2" fontId="2" numFmtId="0" xfId="0" applyAlignment="1" applyBorder="1" applyFont="1">
      <alignment horizontal="center" vertical="center"/>
    </xf>
    <xf borderId="34" fillId="2" fontId="2" numFmtId="0" xfId="0" applyAlignment="1" applyBorder="1" applyFont="1">
      <alignment horizontal="center" vertical="center"/>
    </xf>
    <xf borderId="35" fillId="2" fontId="2" numFmtId="0" xfId="0" applyAlignment="1" applyBorder="1" applyFont="1">
      <alignment horizontal="center" vertical="center"/>
    </xf>
    <xf borderId="36" fillId="2" fontId="2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37" fillId="0" fontId="6" numFmtId="0" xfId="0" applyAlignment="1" applyBorder="1" applyFont="1">
      <alignment vertical="center"/>
    </xf>
    <xf borderId="37" fillId="0" fontId="6" numFmtId="0" xfId="0" applyAlignment="1" applyBorder="1" applyFont="1">
      <alignment horizontal="center" vertical="center"/>
    </xf>
    <xf borderId="15" fillId="0" fontId="11" numFmtId="0" xfId="0" applyAlignment="1" applyBorder="1" applyFont="1">
      <alignment vertical="center"/>
    </xf>
    <xf borderId="9" fillId="0" fontId="6" numFmtId="0" xfId="0" applyAlignment="1" applyBorder="1" applyFont="1">
      <alignment horizontal="center" vertical="center"/>
    </xf>
    <xf borderId="20" fillId="0" fontId="6" numFmtId="0" xfId="0" applyAlignment="1" applyBorder="1" applyFont="1">
      <alignment vertical="center"/>
    </xf>
    <xf borderId="20" fillId="0" fontId="6" numFmtId="0" xfId="0" applyAlignment="1" applyBorder="1" applyFont="1">
      <alignment horizontal="center" vertical="center"/>
    </xf>
    <xf borderId="1" fillId="0" fontId="12" numFmtId="0" xfId="0" applyAlignment="1" applyBorder="1" applyFont="1">
      <alignment vertical="center"/>
    </xf>
    <xf borderId="9" fillId="0" fontId="6" numFmtId="0" xfId="0" applyAlignment="1" applyBorder="1" applyFont="1">
      <alignment horizontal="center"/>
    </xf>
    <xf borderId="20" fillId="0" fontId="6" numFmtId="0" xfId="0" applyAlignment="1" applyBorder="1" applyFont="1">
      <alignment horizontal="center"/>
    </xf>
    <xf borderId="27" fillId="0" fontId="6" numFmtId="0" xfId="0" applyAlignment="1" applyBorder="1" applyFont="1">
      <alignment horizontal="center"/>
    </xf>
    <xf borderId="30" fillId="0" fontId="6" numFmtId="0" xfId="0" applyAlignment="1" applyBorder="1" applyFont="1">
      <alignment vertical="center"/>
    </xf>
    <xf borderId="30" fillId="0" fontId="6" numFmtId="0" xfId="0" applyAlignment="1" applyBorder="1" applyFont="1">
      <alignment horizontal="center"/>
    </xf>
    <xf borderId="38" fillId="0" fontId="6" numFmtId="0" xfId="0" applyAlignment="1" applyBorder="1" applyFont="1">
      <alignment horizontal="center"/>
    </xf>
    <xf borderId="39" fillId="0" fontId="6" numFmtId="0" xfId="0" applyBorder="1" applyFont="1"/>
    <xf borderId="39" fillId="0" fontId="6" numFmtId="0" xfId="0" applyAlignment="1" applyBorder="1" applyFont="1">
      <alignment horizontal="center"/>
    </xf>
    <xf borderId="39" fillId="0" fontId="6" numFmtId="0" xfId="0" applyAlignment="1" applyBorder="1" applyFont="1">
      <alignment vertical="center"/>
    </xf>
    <xf borderId="30" fillId="0" fontId="6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3.57"/>
    <col customWidth="1" min="5" max="5" width="30.86"/>
    <col customWidth="1" min="6" max="6" width="16.29"/>
    <col customWidth="1" min="7" max="7" width="14.43"/>
    <col customWidth="1" min="8" max="8" width="44.71"/>
    <col customWidth="1" min="9" max="9" width="10.71"/>
    <col customWidth="1" min="10" max="10" width="44.86"/>
    <col customWidth="1" min="11" max="26" width="10.71"/>
  </cols>
  <sheetData>
    <row r="2">
      <c r="D2" s="4" t="s">
        <v>0</v>
      </c>
      <c r="E2" s="6"/>
      <c r="F2" s="6"/>
      <c r="G2" s="6"/>
      <c r="H2" s="8"/>
    </row>
    <row r="3">
      <c r="A3" s="12" t="s">
        <v>0</v>
      </c>
      <c r="B3" s="14"/>
      <c r="D3" s="5" t="s">
        <v>2</v>
      </c>
      <c r="E3" s="17" t="s">
        <v>5</v>
      </c>
      <c r="F3" s="17" t="s">
        <v>9</v>
      </c>
      <c r="G3" s="20" t="s">
        <v>12</v>
      </c>
      <c r="H3" s="10" t="s">
        <v>17</v>
      </c>
    </row>
    <row r="4">
      <c r="A4" s="23" t="s">
        <v>18</v>
      </c>
      <c r="B4" s="23">
        <v>38.7</v>
      </c>
      <c r="D4" s="19">
        <v>1.0</v>
      </c>
      <c r="E4" s="26" t="s">
        <v>14</v>
      </c>
      <c r="F4" s="27">
        <v>1.18</v>
      </c>
      <c r="G4" s="28" t="s">
        <v>15</v>
      </c>
      <c r="H4" s="30" t="s">
        <v>21</v>
      </c>
    </row>
    <row r="5">
      <c r="A5" s="23" t="s">
        <v>25</v>
      </c>
      <c r="B5" s="31">
        <v>39.77</v>
      </c>
      <c r="D5" s="19">
        <v>2.0</v>
      </c>
      <c r="E5" s="32" t="s">
        <v>16</v>
      </c>
      <c r="F5" s="27">
        <v>1.2</v>
      </c>
      <c r="G5" s="28" t="s">
        <v>15</v>
      </c>
      <c r="H5" s="33" t="s">
        <v>29</v>
      </c>
    </row>
    <row r="6">
      <c r="D6" s="19">
        <v>3.0</v>
      </c>
      <c r="E6" s="32" t="s">
        <v>19</v>
      </c>
      <c r="F6" s="27">
        <v>1.08</v>
      </c>
      <c r="G6" s="28" t="s">
        <v>15</v>
      </c>
      <c r="H6" s="33" t="s">
        <v>32</v>
      </c>
    </row>
    <row r="7">
      <c r="A7" s="12" t="s">
        <v>34</v>
      </c>
      <c r="B7" s="14"/>
      <c r="D7" s="19">
        <v>4.0</v>
      </c>
      <c r="E7" s="32" t="s">
        <v>20</v>
      </c>
      <c r="F7" s="27">
        <v>3.34</v>
      </c>
      <c r="G7" s="28" t="s">
        <v>15</v>
      </c>
      <c r="H7" s="33" t="s">
        <v>35</v>
      </c>
    </row>
    <row r="8">
      <c r="A8" s="23" t="s">
        <v>18</v>
      </c>
      <c r="B8" s="23">
        <v>5.35</v>
      </c>
      <c r="D8" s="19">
        <v>5.0</v>
      </c>
      <c r="E8" s="39" t="s">
        <v>22</v>
      </c>
      <c r="F8" s="27">
        <v>2.52</v>
      </c>
      <c r="G8" s="28" t="s">
        <v>15</v>
      </c>
      <c r="H8" s="33" t="s">
        <v>36</v>
      </c>
    </row>
    <row r="9">
      <c r="A9" s="23" t="s">
        <v>25</v>
      </c>
      <c r="B9" s="23">
        <v>5.35</v>
      </c>
      <c r="D9" s="19">
        <v>6.0</v>
      </c>
      <c r="E9" s="39" t="s">
        <v>23</v>
      </c>
      <c r="F9" s="27">
        <v>2.86</v>
      </c>
      <c r="G9" s="28" t="s">
        <v>15</v>
      </c>
      <c r="H9" s="33" t="s">
        <v>37</v>
      </c>
    </row>
    <row r="10">
      <c r="D10" s="19">
        <v>7.0</v>
      </c>
      <c r="E10" s="32" t="s">
        <v>24</v>
      </c>
      <c r="F10" s="27">
        <v>3.23</v>
      </c>
      <c r="G10" s="28" t="s">
        <v>15</v>
      </c>
      <c r="H10" s="33" t="s">
        <v>38</v>
      </c>
    </row>
    <row r="11">
      <c r="A11" s="12" t="s">
        <v>39</v>
      </c>
      <c r="B11" s="14"/>
      <c r="D11" s="19">
        <v>8.0</v>
      </c>
      <c r="E11" s="32" t="s">
        <v>26</v>
      </c>
      <c r="F11" s="27">
        <v>6.31</v>
      </c>
      <c r="G11" s="28" t="s">
        <v>15</v>
      </c>
      <c r="H11" s="33" t="s">
        <v>40</v>
      </c>
    </row>
    <row r="12">
      <c r="A12" s="23" t="s">
        <v>18</v>
      </c>
      <c r="B12" s="23">
        <v>0.88</v>
      </c>
      <c r="D12" s="19">
        <v>9.0</v>
      </c>
      <c r="E12" s="32" t="s">
        <v>27</v>
      </c>
      <c r="F12" s="27">
        <v>7.33</v>
      </c>
      <c r="G12" s="28" t="s">
        <v>15</v>
      </c>
      <c r="H12" s="33" t="s">
        <v>41</v>
      </c>
    </row>
    <row r="13">
      <c r="A13" s="23" t="s">
        <v>25</v>
      </c>
      <c r="B13" s="23">
        <v>0.88</v>
      </c>
      <c r="D13" s="19">
        <v>10.0</v>
      </c>
      <c r="E13" s="32" t="s">
        <v>28</v>
      </c>
      <c r="F13" s="27">
        <v>5.34</v>
      </c>
      <c r="G13" s="28" t="s">
        <v>15</v>
      </c>
      <c r="H13" s="33" t="s">
        <v>42</v>
      </c>
    </row>
    <row r="14">
      <c r="D14" s="19">
        <v>11.0</v>
      </c>
      <c r="E14" s="32" t="s">
        <v>30</v>
      </c>
      <c r="F14" s="27">
        <v>2.2</v>
      </c>
      <c r="G14" s="28" t="s">
        <v>15</v>
      </c>
      <c r="H14" s="33" t="s">
        <v>43</v>
      </c>
    </row>
    <row r="15">
      <c r="A15" s="12" t="s">
        <v>44</v>
      </c>
      <c r="B15" s="14"/>
      <c r="D15" s="19">
        <v>12.0</v>
      </c>
      <c r="E15" s="39" t="s">
        <v>31</v>
      </c>
      <c r="F15" s="27">
        <v>0.79</v>
      </c>
      <c r="G15" s="28" t="s">
        <v>15</v>
      </c>
      <c r="H15" s="33" t="s">
        <v>45</v>
      </c>
    </row>
    <row r="16">
      <c r="A16" s="23" t="s">
        <v>18</v>
      </c>
      <c r="B16" s="23">
        <f>+B12+B8+B4</f>
        <v>44.93</v>
      </c>
      <c r="D16" s="34">
        <v>13.0</v>
      </c>
      <c r="E16" s="40" t="s">
        <v>33</v>
      </c>
      <c r="F16" s="41">
        <v>2.39</v>
      </c>
      <c r="G16" s="42" t="s">
        <v>15</v>
      </c>
      <c r="H16" s="43" t="s">
        <v>46</v>
      </c>
    </row>
    <row r="17">
      <c r="A17" s="23" t="s">
        <v>25</v>
      </c>
      <c r="B17" s="23">
        <f>+B5+B9+B13</f>
        <v>46</v>
      </c>
      <c r="C17" s="44"/>
      <c r="D17" s="44"/>
      <c r="E17" s="44" t="s">
        <v>47</v>
      </c>
      <c r="F17" s="45">
        <f>SUM(F4:F16)</f>
        <v>39.77</v>
      </c>
      <c r="G17" s="44"/>
      <c r="H17" s="44"/>
      <c r="I17" s="44"/>
      <c r="J17" s="46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6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44"/>
      <c r="B19" s="44"/>
      <c r="C19" s="44"/>
      <c r="D19" s="4" t="s">
        <v>34</v>
      </c>
      <c r="E19" s="6"/>
      <c r="F19" s="6"/>
      <c r="G19" s="6"/>
      <c r="H19" s="8"/>
      <c r="I19" s="44"/>
      <c r="J19" s="46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44"/>
      <c r="B20" s="44"/>
      <c r="C20" s="44"/>
      <c r="D20" s="47" t="s">
        <v>2</v>
      </c>
      <c r="E20" s="48" t="s">
        <v>5</v>
      </c>
      <c r="F20" s="48" t="s">
        <v>9</v>
      </c>
      <c r="G20" s="49" t="s">
        <v>12</v>
      </c>
      <c r="H20" s="50" t="s">
        <v>17</v>
      </c>
      <c r="I20" s="44"/>
      <c r="J20" s="46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5.75" customHeight="1">
      <c r="A21" s="44"/>
      <c r="B21" s="44"/>
      <c r="C21" s="44"/>
      <c r="D21" s="51">
        <v>1.0</v>
      </c>
      <c r="E21" s="52" t="s">
        <v>48</v>
      </c>
      <c r="F21" s="53">
        <v>0.16</v>
      </c>
      <c r="G21" s="52" t="s">
        <v>15</v>
      </c>
      <c r="H21" s="54" t="s">
        <v>49</v>
      </c>
      <c r="I21" s="44"/>
      <c r="J21" s="46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5.75" customHeight="1">
      <c r="A22" s="44"/>
      <c r="B22" s="44"/>
      <c r="C22" s="44"/>
      <c r="D22" s="55">
        <v>2.0</v>
      </c>
      <c r="E22" s="56" t="s">
        <v>50</v>
      </c>
      <c r="F22" s="57">
        <v>1.39</v>
      </c>
      <c r="G22" s="56" t="s">
        <v>15</v>
      </c>
      <c r="H22" s="58" t="s">
        <v>51</v>
      </c>
      <c r="I22" s="44"/>
      <c r="J22" s="46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5.75" customHeight="1">
      <c r="D23" s="59">
        <v>3.0</v>
      </c>
      <c r="E23" s="56" t="s">
        <v>52</v>
      </c>
      <c r="F23" s="60">
        <v>0.79</v>
      </c>
      <c r="G23" s="56" t="s">
        <v>15</v>
      </c>
      <c r="H23" s="33" t="s">
        <v>53</v>
      </c>
    </row>
    <row r="24" ht="15.75" customHeight="1">
      <c r="D24" s="59">
        <v>4.0</v>
      </c>
      <c r="E24" s="56" t="s">
        <v>54</v>
      </c>
      <c r="F24" s="60">
        <v>0.5</v>
      </c>
      <c r="G24" s="56" t="s">
        <v>15</v>
      </c>
      <c r="H24" s="33" t="s">
        <v>55</v>
      </c>
    </row>
    <row r="25" ht="15.75" customHeight="1">
      <c r="D25" s="59">
        <v>5.0</v>
      </c>
      <c r="E25" s="56" t="s">
        <v>56</v>
      </c>
      <c r="F25" s="60">
        <v>0.33</v>
      </c>
      <c r="G25" s="56" t="s">
        <v>15</v>
      </c>
      <c r="H25" s="33" t="s">
        <v>57</v>
      </c>
    </row>
    <row r="26" ht="15.75" customHeight="1">
      <c r="D26" s="59">
        <v>6.0</v>
      </c>
      <c r="E26" s="56" t="s">
        <v>58</v>
      </c>
      <c r="F26" s="60">
        <v>0.75</v>
      </c>
      <c r="G26" s="56" t="s">
        <v>15</v>
      </c>
      <c r="H26" s="33" t="s">
        <v>59</v>
      </c>
    </row>
    <row r="27" ht="15.75" customHeight="1">
      <c r="D27" s="61">
        <v>7.0</v>
      </c>
      <c r="E27" s="62" t="s">
        <v>60</v>
      </c>
      <c r="F27" s="63">
        <v>1.43</v>
      </c>
      <c r="G27" s="62" t="s">
        <v>15</v>
      </c>
      <c r="H27" s="43" t="s">
        <v>61</v>
      </c>
    </row>
    <row r="28" ht="15.75" customHeight="1">
      <c r="E28" s="44" t="s">
        <v>47</v>
      </c>
      <c r="F28" s="24">
        <f>SUM(F21:F27)</f>
        <v>5.35</v>
      </c>
    </row>
    <row r="29" ht="15.75" customHeight="1"/>
    <row r="30" ht="15.75" customHeight="1"/>
    <row r="31" ht="15.75" customHeight="1">
      <c r="D31" s="4" t="s">
        <v>39</v>
      </c>
      <c r="E31" s="6"/>
      <c r="F31" s="6"/>
      <c r="G31" s="6"/>
      <c r="H31" s="8"/>
    </row>
    <row r="32" ht="15.75" customHeight="1">
      <c r="D32" s="5" t="s">
        <v>2</v>
      </c>
      <c r="E32" s="17" t="s">
        <v>5</v>
      </c>
      <c r="F32" s="17" t="s">
        <v>9</v>
      </c>
      <c r="G32" s="20" t="s">
        <v>12</v>
      </c>
      <c r="H32" s="10" t="s">
        <v>17</v>
      </c>
    </row>
    <row r="33" ht="15.75" customHeight="1">
      <c r="D33" s="64">
        <v>1.0</v>
      </c>
      <c r="E33" s="65" t="s">
        <v>62</v>
      </c>
      <c r="F33" s="66">
        <v>0.51</v>
      </c>
      <c r="G33" s="67" t="s">
        <v>15</v>
      </c>
      <c r="H33" s="30" t="s">
        <v>63</v>
      </c>
    </row>
    <row r="34" ht="15.75" customHeight="1">
      <c r="D34" s="61">
        <v>2.0</v>
      </c>
      <c r="E34" s="68" t="s">
        <v>64</v>
      </c>
      <c r="F34" s="63">
        <v>0.37</v>
      </c>
      <c r="G34" s="62" t="s">
        <v>15</v>
      </c>
      <c r="H34" s="43" t="s">
        <v>65</v>
      </c>
    </row>
    <row r="35" ht="15.75" customHeight="1">
      <c r="E35" s="69" t="s">
        <v>47</v>
      </c>
      <c r="F35" s="24">
        <f>SUM(F33:F34)</f>
        <v>0.88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D2:H2"/>
    <mergeCell ref="A3:B3"/>
    <mergeCell ref="A7:B7"/>
    <mergeCell ref="A11:B11"/>
    <mergeCell ref="A15:B15"/>
    <mergeCell ref="D19:H19"/>
    <mergeCell ref="D31:H31"/>
  </mergeCells>
  <hyperlinks>
    <hyperlink r:id="rId1" ref="H4"/>
    <hyperlink r:id="rId2" ref="H5"/>
    <hyperlink r:id="rId3" ref="H6"/>
    <hyperlink r:id="rId4" ref="H7"/>
    <hyperlink r:id="rId5" ref="H8"/>
    <hyperlink r:id="rId6" ref="H9"/>
    <hyperlink r:id="rId7" ref="H10"/>
    <hyperlink r:id="rId8" ref="H11"/>
    <hyperlink r:id="rId9" ref="H12"/>
    <hyperlink r:id="rId10" ref="H13"/>
    <hyperlink r:id="rId11" ref="H14"/>
    <hyperlink r:id="rId12" ref="H15"/>
    <hyperlink r:id="rId13" ref="H16"/>
    <hyperlink r:id="rId14" ref="H21"/>
    <hyperlink r:id="rId15" ref="H22"/>
    <hyperlink r:id="rId16" ref="H23"/>
    <hyperlink r:id="rId17" ref="H24"/>
    <hyperlink r:id="rId18" ref="H25"/>
    <hyperlink r:id="rId19" ref="H26"/>
    <hyperlink r:id="rId20" ref="H27"/>
    <hyperlink r:id="rId21" ref="H33"/>
    <hyperlink r:id="rId22" ref="H34"/>
  </hyperlinks>
  <printOptions/>
  <pageMargins bottom="0.75" footer="0.0" header="0.0" left="0.7" right="0.7" top="0.75"/>
  <pageSetup orientation="portrait"/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8.43"/>
    <col customWidth="1" min="5" max="5" width="17.86"/>
    <col customWidth="1" min="6" max="6" width="8.86"/>
    <col customWidth="1" min="7" max="7" width="10.86"/>
    <col customWidth="1" min="8" max="8" width="10.57"/>
    <col customWidth="1" min="9" max="9" width="6.14"/>
    <col customWidth="1" min="10" max="10" width="22.57"/>
    <col customWidth="1" min="11" max="11" width="13.43"/>
    <col customWidth="1" min="12" max="26" width="10.71"/>
  </cols>
  <sheetData>
    <row r="2">
      <c r="D2" s="1" t="s">
        <v>1</v>
      </c>
      <c r="E2" s="3" t="s">
        <v>3</v>
      </c>
      <c r="F2" s="3" t="s">
        <v>4</v>
      </c>
      <c r="G2" s="3" t="s">
        <v>6</v>
      </c>
      <c r="H2" s="3" t="s">
        <v>7</v>
      </c>
      <c r="I2" s="3" t="s">
        <v>8</v>
      </c>
      <c r="J2" s="3" t="s">
        <v>10</v>
      </c>
      <c r="K2" s="9" t="s">
        <v>11</v>
      </c>
    </row>
    <row r="3">
      <c r="D3" s="11" t="s">
        <v>13</v>
      </c>
      <c r="E3" s="24">
        <f>SUM(F3:K3)</f>
        <v>46</v>
      </c>
      <c r="F3" s="24">
        <f>+Hoja1!B9</f>
        <v>5.35</v>
      </c>
      <c r="G3" s="24">
        <f>+Hoja1!B13</f>
        <v>0.88</v>
      </c>
      <c r="H3" s="24">
        <v>0.0</v>
      </c>
      <c r="I3" s="24">
        <f>+Hoja1!B5</f>
        <v>39.77</v>
      </c>
      <c r="J3" s="24">
        <v>0.0</v>
      </c>
      <c r="K3" s="24">
        <v>0.0</v>
      </c>
      <c r="L3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3.57"/>
    <col customWidth="1" min="4" max="4" width="30.86"/>
    <col customWidth="1" min="5" max="5" width="16.29"/>
    <col customWidth="1" min="6" max="6" width="14.43"/>
    <col customWidth="1" min="7" max="15" width="10.71"/>
    <col customWidth="1" min="16" max="16" width="13.71"/>
    <col customWidth="1" min="17" max="26" width="10.71"/>
  </cols>
  <sheetData>
    <row r="3">
      <c r="C3" s="2" t="s">
        <v>2</v>
      </c>
      <c r="D3" s="5" t="s">
        <v>5</v>
      </c>
      <c r="E3" s="7" t="s">
        <v>9</v>
      </c>
      <c r="F3" s="10" t="s">
        <v>12</v>
      </c>
    </row>
    <row r="4">
      <c r="C4" s="13">
        <v>1.0</v>
      </c>
      <c r="D4" s="15" t="s">
        <v>14</v>
      </c>
      <c r="E4" s="16">
        <v>1.18</v>
      </c>
      <c r="F4" s="18" t="s">
        <v>15</v>
      </c>
    </row>
    <row r="5">
      <c r="C5" s="19">
        <v>2.0</v>
      </c>
      <c r="D5" s="21" t="s">
        <v>16</v>
      </c>
      <c r="E5" s="22">
        <v>1.2</v>
      </c>
      <c r="F5" s="25" t="s">
        <v>15</v>
      </c>
    </row>
    <row r="6">
      <c r="C6" s="19">
        <v>3.0</v>
      </c>
      <c r="D6" s="21" t="s">
        <v>19</v>
      </c>
      <c r="E6" s="22">
        <v>1.08</v>
      </c>
      <c r="F6" s="25" t="s">
        <v>15</v>
      </c>
    </row>
    <row r="7">
      <c r="C7" s="19">
        <v>4.0</v>
      </c>
      <c r="D7" s="21" t="s">
        <v>20</v>
      </c>
      <c r="E7" s="22">
        <v>3.34</v>
      </c>
      <c r="F7" s="25" t="s">
        <v>15</v>
      </c>
    </row>
    <row r="8">
      <c r="C8" s="19">
        <v>5.0</v>
      </c>
      <c r="D8" s="29" t="s">
        <v>22</v>
      </c>
      <c r="E8" s="22">
        <v>2.52</v>
      </c>
      <c r="F8" s="25" t="s">
        <v>15</v>
      </c>
    </row>
    <row r="9">
      <c r="C9" s="19">
        <v>6.0</v>
      </c>
      <c r="D9" s="29" t="s">
        <v>23</v>
      </c>
      <c r="E9" s="22">
        <v>2.86</v>
      </c>
      <c r="F9" s="25" t="s">
        <v>15</v>
      </c>
    </row>
    <row r="10">
      <c r="C10" s="19">
        <v>7.0</v>
      </c>
      <c r="D10" s="21" t="s">
        <v>24</v>
      </c>
      <c r="E10" s="22">
        <v>3.23</v>
      </c>
      <c r="F10" s="25" t="s">
        <v>15</v>
      </c>
    </row>
    <row r="11">
      <c r="C11" s="19">
        <v>8.0</v>
      </c>
      <c r="D11" s="21" t="s">
        <v>26</v>
      </c>
      <c r="E11" s="22">
        <v>6.31</v>
      </c>
      <c r="F11" s="25" t="s">
        <v>15</v>
      </c>
    </row>
    <row r="12">
      <c r="C12" s="19">
        <v>9.0</v>
      </c>
      <c r="D12" s="21" t="s">
        <v>27</v>
      </c>
      <c r="E12" s="22">
        <v>7.33</v>
      </c>
      <c r="F12" s="25" t="s">
        <v>15</v>
      </c>
    </row>
    <row r="13">
      <c r="C13" s="19">
        <v>10.0</v>
      </c>
      <c r="D13" s="21" t="s">
        <v>28</v>
      </c>
      <c r="E13" s="22">
        <v>5.34</v>
      </c>
      <c r="F13" s="25" t="s">
        <v>15</v>
      </c>
    </row>
    <row r="14">
      <c r="C14" s="19">
        <v>11.0</v>
      </c>
      <c r="D14" s="21" t="s">
        <v>30</v>
      </c>
      <c r="E14" s="22">
        <v>2.2</v>
      </c>
      <c r="F14" s="25" t="s">
        <v>15</v>
      </c>
    </row>
    <row r="15">
      <c r="C15" s="19">
        <v>12.0</v>
      </c>
      <c r="D15" s="29" t="s">
        <v>31</v>
      </c>
      <c r="E15" s="22">
        <v>0.79</v>
      </c>
      <c r="F15" s="25" t="s">
        <v>15</v>
      </c>
    </row>
    <row r="16">
      <c r="C16" s="34">
        <v>13.0</v>
      </c>
      <c r="D16" s="35" t="s">
        <v>33</v>
      </c>
      <c r="E16" s="36">
        <v>1.854</v>
      </c>
      <c r="F16" s="37" t="s">
        <v>15</v>
      </c>
    </row>
    <row r="21" ht="15.75" customHeight="1"/>
    <row r="22" ht="15.75" customHeight="1">
      <c r="P22" s="3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R30" s="3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